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als" sheetId="1" r:id="rId1"/>
    <sheet name="Stage history" sheetId="2" r:id="rId2"/>
    <sheet name="Forecast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opportunity_id</t>
        </is>
      </c>
      <c r="B1" t="inlineStr" s="1">
        <is>
          <t>customer_problem</t>
        </is>
      </c>
      <c r="C1" t="inlineStr" s="1">
        <is>
          <t>current_stage</t>
        </is>
      </c>
      <c r="D1" t="inlineStr" s="1">
        <is>
          <t>stage_entry_evidence</t>
        </is>
      </c>
      <c r="E1" t="inlineStr" s="1">
        <is>
          <t>value_basis</t>
        </is>
      </c>
      <c r="F1" t="inlineStr" s="1">
        <is>
          <t>target_date</t>
        </is>
      </c>
      <c r="G1" t="inlineStr" s="1">
        <is>
          <t>decision_actors</t>
        </is>
      </c>
      <c r="H1" t="inlineStr" s="1">
        <is>
          <t>blockers</t>
        </is>
      </c>
      <c r="I1" t="inlineStr" s="1">
        <is>
          <t>last_commitment</t>
        </is>
      </c>
      <c r="J1" t="inlineStr" s="1">
        <is>
          <t>next_commitment</t>
        </is>
      </c>
      <c r="K1" t="inlineStr" s="1">
        <is>
          <t>value_usd</t>
        </is>
      </c>
      <c r="L1" t="inlineStr" s="1">
        <is>
          <t>probability_pct</t>
        </is>
      </c>
      <c r="M1" t="inlineStr" s="1">
        <is>
          <t>qualified_value</t>
        </is>
      </c>
      <c r="N1" t="inlineStr" s="1">
        <is>
          <t>weighted_value</t>
        </is>
      </c>
      <c r="O1" t="inlineStr" s="1">
        <is>
          <t>stale_flag</t>
        </is>
      </c>
    </row>
    <row r="2">
      <c r="A2" t="inlineStr">
        <is>
          <t>DEAL-001</t>
        </is>
      </c>
      <c r="B2" t="inlineStr">
        <is>
          <t>Acme Logistics needs a warehouse dispatch scheduler</t>
        </is>
      </c>
      <c r="C2" t="inlineStr">
        <is>
          <t>Qualify</t>
        </is>
      </c>
      <c r="D2" t="inlineStr">
        <is>
          <t>Discovery call held; budget confirmed by IT director</t>
        </is>
      </c>
      <c r="E2" t="inlineStr">
        <is>
          <t>Annual license x seats</t>
        </is>
      </c>
      <c r="F2" t="inlineStr">
        <is>
          <t>2026-11-30</t>
        </is>
      </c>
      <c r="G2" t="inlineStr">
        <is>
          <t>CIO (Davis), IT Dir (Ng)</t>
        </is>
      </c>
      <c r="H2" t="inlineStr">
        <is>
          <t>Competitor pilot underway</t>
        </is>
      </c>
      <c r="I2" t="inlineStr">
        <is>
          <t>2026-08-20 call</t>
        </is>
      </c>
      <c r="J2" t="inlineStr">
        <is>
          <t>2026-09-03 demo</t>
        </is>
      </c>
      <c r="K2">
        <v>120000</v>
      </c>
      <c r="L2">
        <v>15</v>
      </c>
      <c r="M2">
        <f>IF(OR(C2="Advance",C2="Negotiate",C2="Close"),K2,0)</f>
      </c>
      <c r="N2">
        <f>K2*L2</f>
      </c>
      <c r="O2" t="inlineStr">
        <is>
          <t>No</t>
        </is>
      </c>
    </row>
    <row r="3">
      <c r="A3" t="inlineStr">
        <is>
          <t>DEAL-002</t>
        </is>
      </c>
      <c r="B3" t="inlineStr">
        <is>
          <t>Beacon Retail wants order-fulfilment routing</t>
        </is>
      </c>
      <c r="C3" t="inlineStr">
        <is>
          <t>Advance</t>
        </is>
      </c>
      <c r="D3" t="inlineStr">
        <is>
          <t>Signed NDA; procurement shortlist confirmed</t>
        </is>
      </c>
      <c r="E3" t="inlineStr">
        <is>
          <t>Platform + implementation</t>
        </is>
      </c>
      <c r="F3" t="inlineStr">
        <is>
          <t>2026-12-15</t>
        </is>
      </c>
      <c r="G3" t="inlineStr">
        <is>
          <t>VP Ops (Khan), CFO (Ross)</t>
        </is>
      </c>
      <c r="H3" t="inlineStr">
        <is>
          <t>Budget approval pending</t>
        </is>
      </c>
      <c r="I3" t="inlineStr">
        <is>
          <t>2026-08-15 pricing review</t>
        </is>
      </c>
      <c r="J3" t="inlineStr">
        <is>
          <t>2026-09-10 value workshop</t>
        </is>
      </c>
      <c r="K3">
        <v>250000</v>
      </c>
      <c r="L3">
        <v>40</v>
      </c>
      <c r="M3">
        <f>IF(OR(C3="Advance",C3="Negotiate",C3="Close"),K3,0)</f>
      </c>
      <c r="N3">
        <f>K3*L3</f>
      </c>
      <c r="O3" t="inlineStr">
        <is>
          <t>No</t>
        </is>
      </c>
    </row>
    <row r="4">
      <c r="A4" t="inlineStr">
        <is>
          <t>DEAL-003</t>
        </is>
      </c>
      <c r="B4" t="inlineStr">
        <is>
          <t>Northwind Manufacturing seeks plant scheduling</t>
        </is>
      </c>
      <c r="C4" t="inlineStr">
        <is>
          <t>Negotiate</t>
        </is>
      </c>
      <c r="D4" t="inlineStr">
        <is>
          <t>Legal review of MSA started</t>
        </is>
      </c>
      <c r="E4" t="inlineStr">
        <is>
          <t>3-year enterprise term</t>
        </is>
      </c>
      <c r="F4" t="inlineStr">
        <is>
          <t>2026-10-31</t>
        </is>
      </c>
      <c r="G4" t="inlineStr">
        <is>
          <t>COO (Petrov), Legal (Wong)</t>
        </is>
      </c>
      <c r="H4" t="inlineStr">
        <is>
          <t>Security review open item</t>
        </is>
      </c>
      <c r="I4" t="inlineStr">
        <is>
          <t>2026-08-12 term sheet</t>
        </is>
      </c>
      <c r="J4" t="inlineStr">
        <is>
          <t>2026-09-01 contract call</t>
        </is>
      </c>
      <c r="K4">
        <v>480000</v>
      </c>
      <c r="L4">
        <v>65</v>
      </c>
      <c r="M4">
        <f>IF(OR(C4="Advance",C4="Negotiate",C4="Close"),K4,0)</f>
      </c>
      <c r="N4">
        <f>K4*L4</f>
      </c>
      <c r="O4" t="inlineStr">
        <is>
          <t>No</t>
        </is>
      </c>
    </row>
    <row r="5">
      <c r="A5" t="inlineStr">
        <is>
          <t>DEAL-004</t>
        </is>
      </c>
      <c r="B5" t="inlineStr">
        <is>
          <t>Vertex Energy needs maintenance dispatch</t>
        </is>
      </c>
      <c r="C5" t="inlineStr">
        <is>
          <t>Close</t>
        </is>
      </c>
      <c r="D5" t="inlineStr">
        <is>
          <t>Signed LOI; final contract drafting</t>
        </is>
      </c>
      <c r="E5" t="inlineStr">
        <is>
          <t>Annual + optional renewal</t>
        </is>
      </c>
      <c r="F5" t="inlineStr">
        <is>
          <t>2026-09-30</t>
        </is>
      </c>
      <c r="G5" t="inlineStr">
        <is>
          <t>Ops Dir (Silva), Procurement (Tran)</t>
        </is>
      </c>
      <c r="H5" t="inlineStr">
        <is>
          <t>None blocking</t>
        </is>
      </c>
      <c r="I5" t="inlineStr">
        <is>
          <t>2026-08-01 agreement</t>
        </is>
      </c>
      <c r="J5" t="inlineStr">
        <is>
          <t>2026-09-15 signature</t>
        </is>
      </c>
      <c r="K5">
        <v>310000</v>
      </c>
      <c r="L5">
        <v>85</v>
      </c>
      <c r="M5">
        <f>IF(OR(C5="Advance",C5="Negotiate",C5="Close"),K5,0)</f>
      </c>
      <c r="N5">
        <f>K5*L5</f>
      </c>
      <c r="O5" t="inlineStr">
        <is>
          <t>No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deal_id</t>
        </is>
      </c>
      <c r="B1" t="inlineStr" s="1">
        <is>
          <t>stage</t>
        </is>
      </c>
      <c r="C1" t="inlineStr" s="1">
        <is>
          <t>entry_date</t>
        </is>
      </c>
      <c r="D1" t="inlineStr" s="1">
        <is>
          <t>value_usd</t>
        </is>
      </c>
      <c r="E1" t="inlineStr" s="1">
        <is>
          <t>probability_pct</t>
        </is>
      </c>
      <c r="F1" t="inlineStr" s="1">
        <is>
          <t>evidence_note</t>
        </is>
      </c>
    </row>
    <row r="2">
      <c r="A2" t="inlineStr">
        <is>
          <t>DEAL-001</t>
        </is>
      </c>
      <c r="B2" t="inlineStr">
        <is>
          <t>Qualify</t>
        </is>
      </c>
      <c r="C2" t="inlineStr">
        <is>
          <t>2026-06-01</t>
        </is>
      </c>
      <c r="D2">
        <v>120000</v>
      </c>
      <c r="E2">
        <v>10</v>
      </c>
      <c r="F2" t="inlineStr">
        <is>
          <t>Entered pipeline</t>
        </is>
      </c>
    </row>
    <row r="3">
      <c r="A3" t="inlineStr">
        <is>
          <t>DEAL-001</t>
        </is>
      </c>
      <c r="B3" t="inlineStr">
        <is>
          <t>Qualify</t>
        </is>
      </c>
      <c r="C3" t="inlineStr">
        <is>
          <t>2026-07-15</t>
        </is>
      </c>
      <c r="D3">
        <v>120000</v>
      </c>
      <c r="E3">
        <v>15</v>
      </c>
      <c r="F3" t="inlineStr">
        <is>
          <t>Discovery call held; probability raised</t>
        </is>
      </c>
    </row>
    <row r="4">
      <c r="A4" t="inlineStr">
        <is>
          <t>DEAL-002</t>
        </is>
      </c>
      <c r="B4" t="inlineStr">
        <is>
          <t>Qualify</t>
        </is>
      </c>
      <c r="C4" t="inlineStr">
        <is>
          <t>2026-05-10</t>
        </is>
      </c>
      <c r="D4">
        <v>200000</v>
      </c>
      <c r="E4">
        <v>10</v>
      </c>
      <c r="F4" t="inlineStr">
        <is>
          <t>Entered pipeline</t>
        </is>
      </c>
    </row>
    <row r="5">
      <c r="A5" t="inlineStr">
        <is>
          <t>DEAL-002</t>
        </is>
      </c>
      <c r="B5" t="inlineStr">
        <is>
          <t>Advance</t>
        </is>
      </c>
      <c r="C5" t="inlineStr">
        <is>
          <t>2026-07-01</t>
        </is>
      </c>
      <c r="D5">
        <v>250000</v>
      </c>
      <c r="E5">
        <v>40</v>
      </c>
      <c r="F5" t="inlineStr">
        <is>
          <t>NDA signed; shortlist confirmed</t>
        </is>
      </c>
    </row>
    <row r="6">
      <c r="A6" t="inlineStr">
        <is>
          <t>DEAL-003</t>
        </is>
      </c>
      <c r="B6" t="inlineStr">
        <is>
          <t>Qualify</t>
        </is>
      </c>
      <c r="C6" t="inlineStr">
        <is>
          <t>2026-03-02</t>
        </is>
      </c>
      <c r="D6">
        <v>400000</v>
      </c>
      <c r="E6">
        <v>10</v>
      </c>
      <c r="F6" t="inlineStr">
        <is>
          <t>Entered pipeline</t>
        </is>
      </c>
    </row>
    <row r="7">
      <c r="A7" t="inlineStr">
        <is>
          <t>DEAL-003</t>
        </is>
      </c>
      <c r="B7" t="inlineStr">
        <is>
          <t>Advance</t>
        </is>
      </c>
      <c r="C7" t="inlineStr">
        <is>
          <t>2026-05-20</t>
        </is>
      </c>
      <c r="D7">
        <v>450000</v>
      </c>
      <c r="E7">
        <v>30</v>
      </c>
      <c r="F7" t="inlineStr">
        <is>
          <t>Pilot agreed; value scoped</t>
        </is>
      </c>
    </row>
    <row r="8">
      <c r="A8" t="inlineStr">
        <is>
          <t>DEAL-003</t>
        </is>
      </c>
      <c r="B8" t="inlineStr">
        <is>
          <t>Negotiate</t>
        </is>
      </c>
      <c r="C8" t="inlineStr">
        <is>
          <t>2026-07-10</t>
        </is>
      </c>
      <c r="D8">
        <v>480000</v>
      </c>
      <c r="E8">
        <v>65</v>
      </c>
      <c r="F8" t="inlineStr">
        <is>
          <t>MSA in legal review</t>
        </is>
      </c>
    </row>
    <row r="9">
      <c r="A9" t="inlineStr">
        <is>
          <t>DEAL-004</t>
        </is>
      </c>
      <c r="B9" t="inlineStr">
        <is>
          <t>Qualify</t>
        </is>
      </c>
      <c r="C9" t="inlineStr">
        <is>
          <t>2026-04-01</t>
        </is>
      </c>
      <c r="D9">
        <v>280000</v>
      </c>
      <c r="E9">
        <v>15</v>
      </c>
      <c r="F9" t="inlineStr">
        <is>
          <t>Entered pipeline</t>
        </is>
      </c>
    </row>
    <row r="10">
      <c r="A10" t="inlineStr">
        <is>
          <t>DEAL-004</t>
        </is>
      </c>
      <c r="B10" t="inlineStr">
        <is>
          <t>Advance</t>
        </is>
      </c>
      <c r="C10" t="inlineStr">
        <is>
          <t>2026-06-05</t>
        </is>
      </c>
      <c r="D10">
        <v>300000</v>
      </c>
      <c r="E10">
        <v>45</v>
      </c>
      <c r="F10" t="inlineStr">
        <is>
          <t>Security review passed</t>
        </is>
      </c>
    </row>
    <row r="11">
      <c r="A11" t="inlineStr">
        <is>
          <t>DEAL-004</t>
        </is>
      </c>
      <c r="B11" t="inlineStr">
        <is>
          <t>Close</t>
        </is>
      </c>
      <c r="C11" t="inlineStr">
        <is>
          <t>2026-08-01</t>
        </is>
      </c>
      <c r="D11">
        <v>310000</v>
      </c>
      <c r="E11">
        <v>85</v>
      </c>
      <c r="F11" t="inlineStr">
        <is>
          <t>LOI signed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metric</t>
        </is>
      </c>
      <c r="B1" t="inlineStr" s="1">
        <is>
          <t>value</t>
        </is>
      </c>
      <c r="C1" t="inlineStr" s="1">
        <is>
          <t>basis_note</t>
        </is>
      </c>
    </row>
    <row r="2">
      <c r="A2" t="inlineStr">
        <is>
          <t>Gross pipeline</t>
        </is>
      </c>
      <c r="B2">
        <f>SUM(Deals!K2:K5)</f>
      </c>
      <c r="C2" t="inlineStr">
        <is>
          <t>Sum of deal value</t>
        </is>
      </c>
    </row>
    <row r="3">
      <c r="A3" t="inlineStr">
        <is>
          <t>Qualified pipeline</t>
        </is>
      </c>
      <c r="B3">
        <f>SUM(Deals!M2:M5)</f>
      </c>
      <c r="C3" t="inlineStr">
        <is>
          <t>Advance/Negotiate/Close only</t>
        </is>
      </c>
    </row>
    <row r="4">
      <c r="A4" t="inlineStr">
        <is>
          <t>Evidence-weighted point</t>
        </is>
      </c>
      <c r="B4">
        <f>SUM(Deals!N2:N5)/100</f>
      </c>
      <c r="C4" t="inlineStr">
        <is>
          <t>value x probability, summed</t>
        </is>
      </c>
    </row>
    <row r="5">
      <c r="A5" t="inlineStr">
        <is>
          <t>Weighted low (-10pt)</t>
        </is>
      </c>
      <c r="B5">
        <f>SUMPRODUCT(Deals!K2:K5,Deals!L2:L5-10)/100</f>
      </c>
      <c r="C5" t="inlineStr">
        <is>
          <t>illustrative lower band</t>
        </is>
      </c>
    </row>
    <row r="6">
      <c r="A6" t="inlineStr">
        <is>
          <t>Weighted high (+10pt)</t>
        </is>
      </c>
      <c r="B6">
        <f>SUMPRODUCT(Deals!K2:K5,Deals!L2:L5+10)/100</f>
      </c>
      <c r="C6" t="inlineStr">
        <is>
          <t>illustrative upper band</t>
        </is>
      </c>
    </row>
    <row r="7">
      <c r="A7" t="inlineStr">
        <is>
          <t>Top-deal concentration</t>
        </is>
      </c>
      <c r="B7">
        <f>LARGE(Deals!K2:K5,1)/SUM(Deals!K2:K5)</f>
      </c>
      <c r="C7" t="inlineStr">
        <is>
          <t>share of gross in largest deal</t>
        </is>
      </c>
    </row>
    <row r="8">
      <c r="A8" t="inlineStr">
        <is>
          <t>Stale-deal count</t>
        </is>
      </c>
      <c r="B8">
        <f>COUNTIF(Deals!O2:O5,"Yes")</f>
      </c>
      <c r="C8" t="inlineStr">
        <is>
          <t>deals flagged stale in Deals column O</t>
        </is>
      </c>
    </row>
  </sheetData>
</worksheet>
</file>